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eb-dev-journey\"/>
    </mc:Choice>
  </mc:AlternateContent>
  <xr:revisionPtr revIDLastSave="0" documentId="13_ncr:1_{5837C7D6-CE7B-404A-8CC0-5EE2C029F8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Progress Log" sheetId="1" r:id="rId1"/>
    <sheet name="Weekly Analytics &amp;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6" i="1"/>
  <c r="H34" i="1"/>
  <c r="H33" i="1"/>
  <c r="H32" i="1"/>
  <c r="H31" i="1"/>
  <c r="H30" i="1"/>
  <c r="H29" i="1"/>
  <c r="C8" i="2" s="1"/>
  <c r="H27" i="1"/>
  <c r="H26" i="1"/>
  <c r="H25" i="1"/>
  <c r="H24" i="1"/>
  <c r="C7" i="2" s="1"/>
  <c r="H23" i="1"/>
  <c r="H22" i="1"/>
  <c r="H20" i="1"/>
  <c r="H19" i="1"/>
  <c r="H18" i="1"/>
  <c r="H17" i="1"/>
  <c r="H16" i="1"/>
  <c r="H15" i="1"/>
  <c r="C6" i="2" s="1"/>
  <c r="H13" i="1"/>
  <c r="H12" i="1"/>
  <c r="H11" i="1"/>
  <c r="H10" i="1"/>
  <c r="E4" i="1" s="1"/>
  <c r="H9" i="1"/>
  <c r="H8" i="1"/>
  <c r="H4" i="1"/>
  <c r="B4" i="1"/>
  <c r="F7" i="2" l="1"/>
  <c r="D7" i="2"/>
  <c r="F8" i="2"/>
  <c r="D8" i="2"/>
  <c r="F6" i="2"/>
  <c r="D6" i="2"/>
  <c r="C5" i="2"/>
  <c r="F5" i="2" l="1"/>
  <c r="D5" i="2"/>
</calcChain>
</file>

<file path=xl/sharedStrings.xml><?xml version="1.0" encoding="utf-8"?>
<sst xmlns="http://schemas.openxmlformats.org/spreadsheetml/2006/main" count="214" uniqueCount="82">
  <si>
    <t>Daily Coding &amp; Execution Log (3.5 Hours / 210 Mins Daily)</t>
  </si>
  <si>
    <t>Dedicated daily log to track every individual session, learnings, blockers, and git commits</t>
  </si>
  <si>
    <t>Total Sessions Logged:</t>
  </si>
  <si>
    <t>Total Hours Logged:</t>
  </si>
  <si>
    <t>Completion Rate:</t>
  </si>
  <si>
    <t>Date</t>
  </si>
  <si>
    <t>Day</t>
  </si>
  <si>
    <t>80m Learn</t>
  </si>
  <si>
    <t>55m Build</t>
  </si>
  <si>
    <t>30m Refine</t>
  </si>
  <si>
    <t>20m Git/Notes</t>
  </si>
  <si>
    <t>5m Reflection</t>
  </si>
  <si>
    <t>Total Min</t>
  </si>
  <si>
    <t>Topic / Project Name</t>
  </si>
  <si>
    <t>Key Wins &amp; Learnings</t>
  </si>
  <si>
    <t>Blockers / Errors</t>
  </si>
  <si>
    <t>Status</t>
  </si>
  <si>
    <t>2026-09-01</t>
  </si>
  <si>
    <t>Monday</t>
  </si>
  <si>
    <t>Tuition Centre Website</t>
  </si>
  <si>
    <t>Practiced layout structure, CSS Flexbox, and Git commits</t>
  </si>
  <si>
    <t>None</t>
  </si>
  <si>
    <t>Completed</t>
  </si>
  <si>
    <t>2026-09-02</t>
  </si>
  <si>
    <t>Tuesday</t>
  </si>
  <si>
    <t>2026-09-03</t>
  </si>
  <si>
    <t>Wednesday</t>
  </si>
  <si>
    <t>2026-09-04</t>
  </si>
  <si>
    <t>Thursday</t>
  </si>
  <si>
    <t>Pending</t>
  </si>
  <si>
    <t>2026-09-05</t>
  </si>
  <si>
    <t>Friday</t>
  </si>
  <si>
    <t>2026-09-06</t>
  </si>
  <si>
    <t>Saturday</t>
  </si>
  <si>
    <t>2026-09-07</t>
  </si>
  <si>
    <t>Sunday</t>
  </si>
  <si>
    <t>Weekly Review &amp; Rest Day</t>
  </si>
  <si>
    <t>Rest, reflect, and organize upcoming week</t>
  </si>
  <si>
    <t>—</t>
  </si>
  <si>
    <t>Rest Day</t>
  </si>
  <si>
    <t>2026-09-08</t>
  </si>
  <si>
    <t>Book List App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</si>
  <si>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</si>
  <si>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</si>
  <si>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</si>
  <si>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</si>
  <si>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</si>
  <si>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</si>
  <si>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</si>
  <si>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Portfolio Redesign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</si>
  <si>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</si>
  <si>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</si>
  <si>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</si>
  <si>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</si>
  <si>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</si>
  <si>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</si>
  <si>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</si>
  <si>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</si>
  <si>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</si>
  <si>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</si>
  <si>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</si>
  <si>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</si>
  <si>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</si>
  <si>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</si>
  <si>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</si>
  <si>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Weekly Performance Analytics</t>
  </si>
  <si>
    <t>Weekly hours target: 21.0 Hours (6 Days x 3.5 Hours)</t>
  </si>
  <si>
    <t>Week</t>
  </si>
  <si>
    <t>Planned Mins</t>
  </si>
  <si>
    <t>Logged Mins</t>
  </si>
  <si>
    <t>Logged Hours</t>
  </si>
  <si>
    <t>Target Mins (21h)</t>
  </si>
  <si>
    <t>Weekly Target Met?</t>
  </si>
  <si>
    <t>Weekly Primary Milestone / Notes</t>
  </si>
  <si>
    <t>Week 1</t>
  </si>
  <si>
    <t>Tuition Centre Website initial build</t>
  </si>
  <si>
    <t>Week 2</t>
  </si>
  <si>
    <t>Book List App &amp; LocalStorage</t>
  </si>
  <si>
    <t>Week 3</t>
  </si>
  <si>
    <t>Quote Generator &amp; Portfolio base</t>
  </si>
  <si>
    <t>Week 4</t>
  </si>
  <si>
    <t>Phase 1 Project Refactoring &amp;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</si>
</sst>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\ &quot;hrs&quot;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11"/>
      <color rgb="FF59595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A2139C3-C532-4997-AC2B-31B6DA1BF1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D1" workbookViewId="0">
      <selection activeCell="L10" sqref="L10"/>
    </sheetView>
  </sheetViews>
  <sheetFormatPr defaultRowHeight="14.4" x14ac:dyDescent="0.3"/>
  <cols>
    <col min="1" max="1" width="94" customWidth="1"/>
    <col min="2" max="3" width="14" customWidth="1"/>
    <col min="4" max="4" width="22" customWidth="1"/>
    <col min="5" max="5" width="14" customWidth="1"/>
    <col min="6" max="6" width="16" customWidth="1"/>
    <col min="7" max="7" width="19" customWidth="1"/>
    <col min="8" max="8" width="14" customWidth="1"/>
    <col min="9" max="9" width="27" customWidth="1"/>
    <col min="10" max="10" width="59" customWidth="1"/>
    <col min="11" max="11" width="20" customWidth="1"/>
    <col min="12" max="12" width="14" customWidth="1"/>
  </cols>
  <sheetData>
    <row r="1" spans="1:12" ht="21" x14ac:dyDescent="0.4">
      <c r="A1" s="1" t="s">
        <v>0</v>
      </c>
    </row>
    <row r="2" spans="1:12" x14ac:dyDescent="0.3">
      <c r="A2" s="2" t="s">
        <v>1</v>
      </c>
    </row>
    <row r="4" spans="1:12" x14ac:dyDescent="0.3">
      <c r="A4" s="3" t="s">
        <v>2</v>
      </c>
      <c r="B4" s="4">
        <f>COUNTA(A8:A37)</f>
        <v>30</v>
      </c>
      <c r="D4" s="3" t="s">
        <v>3</v>
      </c>
      <c r="E4" s="5">
        <f>SUM(H8:H37)/60</f>
        <v>82.333333333333329</v>
      </c>
      <c r="G4" s="3" t="s">
        <v>4</v>
      </c>
      <c r="H4" s="6">
        <f>COUNTIF(L8:L37, "Completed")/COUNTA(A8:A37)</f>
        <v>0.1</v>
      </c>
    </row>
    <row r="7" spans="1:12" x14ac:dyDescent="0.3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</row>
    <row r="8" spans="1:12" x14ac:dyDescent="0.3">
      <c r="A8" s="8" t="s">
        <v>17</v>
      </c>
      <c r="B8" s="8" t="s">
        <v>18</v>
      </c>
      <c r="C8" s="8">
        <v>80</v>
      </c>
      <c r="D8" s="8">
        <v>55</v>
      </c>
      <c r="E8" s="8">
        <v>30</v>
      </c>
      <c r="F8" s="8">
        <v>20</v>
      </c>
      <c r="G8" s="8">
        <v>5</v>
      </c>
      <c r="H8" s="8">
        <f t="shared" ref="H8:H13" si="0">SUM(C8:G8)</f>
        <v>190</v>
      </c>
      <c r="I8" s="9" t="s">
        <v>19</v>
      </c>
      <c r="J8" s="9" t="s">
        <v>20</v>
      </c>
      <c r="K8" s="9" t="s">
        <v>21</v>
      </c>
      <c r="L8" s="10" t="s">
        <v>22</v>
      </c>
    </row>
    <row r="9" spans="1:12" x14ac:dyDescent="0.3">
      <c r="A9" s="8" t="s">
        <v>23</v>
      </c>
      <c r="B9" s="8" t="s">
        <v>24</v>
      </c>
      <c r="C9" s="8">
        <v>80</v>
      </c>
      <c r="D9" s="8">
        <v>55</v>
      </c>
      <c r="E9" s="8">
        <v>30</v>
      </c>
      <c r="F9" s="8">
        <v>20</v>
      </c>
      <c r="G9" s="8">
        <v>5</v>
      </c>
      <c r="H9" s="8">
        <f t="shared" si="0"/>
        <v>190</v>
      </c>
      <c r="I9" s="9" t="s">
        <v>19</v>
      </c>
      <c r="J9" s="9" t="s">
        <v>20</v>
      </c>
      <c r="K9" s="9" t="s">
        <v>21</v>
      </c>
      <c r="L9" s="10" t="s">
        <v>22</v>
      </c>
    </row>
    <row r="10" spans="1:12" x14ac:dyDescent="0.3">
      <c r="A10" s="8" t="s">
        <v>25</v>
      </c>
      <c r="B10" s="8" t="s">
        <v>26</v>
      </c>
      <c r="C10" s="8">
        <v>80</v>
      </c>
      <c r="D10" s="8">
        <v>55</v>
      </c>
      <c r="E10" s="8">
        <v>30</v>
      </c>
      <c r="F10" s="8">
        <v>20</v>
      </c>
      <c r="G10" s="8">
        <v>5</v>
      </c>
      <c r="H10" s="8">
        <f t="shared" si="0"/>
        <v>190</v>
      </c>
      <c r="I10" s="9" t="s">
        <v>19</v>
      </c>
      <c r="J10" s="9" t="s">
        <v>20</v>
      </c>
      <c r="K10" s="9" t="s">
        <v>21</v>
      </c>
      <c r="L10" s="10" t="s">
        <v>22</v>
      </c>
    </row>
    <row r="11" spans="1:12" x14ac:dyDescent="0.3">
      <c r="A11" s="8" t="s">
        <v>27</v>
      </c>
      <c r="B11" s="8" t="s">
        <v>28</v>
      </c>
      <c r="C11" s="8">
        <v>80</v>
      </c>
      <c r="D11" s="8">
        <v>55</v>
      </c>
      <c r="E11" s="8">
        <v>30</v>
      </c>
      <c r="F11" s="8">
        <v>20</v>
      </c>
      <c r="G11" s="8">
        <v>5</v>
      </c>
      <c r="H11" s="8">
        <f t="shared" si="0"/>
        <v>190</v>
      </c>
      <c r="I11" s="9" t="s">
        <v>19</v>
      </c>
      <c r="J11" s="9" t="s">
        <v>20</v>
      </c>
      <c r="K11" s="9" t="s">
        <v>21</v>
      </c>
      <c r="L11" s="11" t="s">
        <v>29</v>
      </c>
    </row>
    <row r="12" spans="1:12" x14ac:dyDescent="0.3">
      <c r="A12" s="8" t="s">
        <v>30</v>
      </c>
      <c r="B12" s="8" t="s">
        <v>31</v>
      </c>
      <c r="C12" s="8">
        <v>80</v>
      </c>
      <c r="D12" s="8">
        <v>55</v>
      </c>
      <c r="E12" s="8">
        <v>30</v>
      </c>
      <c r="F12" s="8">
        <v>20</v>
      </c>
      <c r="G12" s="8">
        <v>5</v>
      </c>
      <c r="H12" s="8">
        <f t="shared" si="0"/>
        <v>190</v>
      </c>
      <c r="I12" s="9" t="s">
        <v>19</v>
      </c>
      <c r="J12" s="9" t="s">
        <v>20</v>
      </c>
      <c r="K12" s="9" t="s">
        <v>21</v>
      </c>
      <c r="L12" s="11" t="s">
        <v>29</v>
      </c>
    </row>
    <row r="13" spans="1:12" x14ac:dyDescent="0.3">
      <c r="A13" s="8" t="s">
        <v>32</v>
      </c>
      <c r="B13" s="8" t="s">
        <v>33</v>
      </c>
      <c r="C13" s="8">
        <v>80</v>
      </c>
      <c r="D13" s="8">
        <v>55</v>
      </c>
      <c r="E13" s="8">
        <v>30</v>
      </c>
      <c r="F13" s="8">
        <v>20</v>
      </c>
      <c r="G13" s="8">
        <v>5</v>
      </c>
      <c r="H13" s="8">
        <f t="shared" si="0"/>
        <v>190</v>
      </c>
      <c r="I13" s="9" t="s">
        <v>19</v>
      </c>
      <c r="J13" s="9" t="s">
        <v>20</v>
      </c>
      <c r="K13" s="9" t="s">
        <v>21</v>
      </c>
      <c r="L13" s="11" t="s">
        <v>29</v>
      </c>
    </row>
    <row r="14" spans="1:12" x14ac:dyDescent="0.3">
      <c r="A14" s="8" t="s">
        <v>34</v>
      </c>
      <c r="B14" s="8" t="s">
        <v>35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9" t="s">
        <v>36</v>
      </c>
      <c r="J14" s="9" t="s">
        <v>37</v>
      </c>
      <c r="K14" s="9" t="s">
        <v>38</v>
      </c>
      <c r="L14" s="12" t="s">
        <v>39</v>
      </c>
    </row>
    <row r="15" spans="1:12" x14ac:dyDescent="0.3">
      <c r="A15" s="8" t="s">
        <v>40</v>
      </c>
      <c r="B15" s="8" t="s">
        <v>18</v>
      </c>
      <c r="C15" s="8">
        <v>80</v>
      </c>
      <c r="D15" s="8">
        <v>55</v>
      </c>
      <c r="E15" s="8">
        <v>30</v>
      </c>
      <c r="F15" s="8">
        <v>20</v>
      </c>
      <c r="G15" s="8">
        <v>5</v>
      </c>
      <c r="H15" s="8">
        <f t="shared" ref="H15:H20" si="1">SUM(C15:G15)</f>
        <v>190</v>
      </c>
      <c r="I15" s="9" t="s">
        <v>41</v>
      </c>
      <c r="J15" s="9" t="s">
        <v>20</v>
      </c>
      <c r="K15" s="9" t="s">
        <v>21</v>
      </c>
      <c r="L15" s="11" t="s">
        <v>29</v>
      </c>
    </row>
    <row r="16" spans="1:12" x14ac:dyDescent="0.3">
      <c r="A16" s="8" t="s">
        <v>42</v>
      </c>
      <c r="B16" s="8" t="s">
        <v>24</v>
      </c>
      <c r="C16" s="8">
        <v>80</v>
      </c>
      <c r="D16" s="8">
        <v>55</v>
      </c>
      <c r="E16" s="8">
        <v>30</v>
      </c>
      <c r="F16" s="8">
        <v>20</v>
      </c>
      <c r="G16" s="8">
        <v>5</v>
      </c>
      <c r="H16" s="8">
        <f t="shared" si="1"/>
        <v>190</v>
      </c>
      <c r="I16" s="9" t="s">
        <v>41</v>
      </c>
      <c r="J16" s="9" t="s">
        <v>20</v>
      </c>
      <c r="K16" s="9" t="s">
        <v>21</v>
      </c>
      <c r="L16" s="11" t="s">
        <v>29</v>
      </c>
    </row>
    <row r="17" spans="1:12" x14ac:dyDescent="0.3">
      <c r="A17" s="8" t="s">
        <v>43</v>
      </c>
      <c r="B17" s="8" t="s">
        <v>26</v>
      </c>
      <c r="C17" s="8">
        <v>80</v>
      </c>
      <c r="D17" s="8">
        <v>55</v>
      </c>
      <c r="E17" s="8">
        <v>30</v>
      </c>
      <c r="F17" s="8">
        <v>20</v>
      </c>
      <c r="G17" s="8">
        <v>5</v>
      </c>
      <c r="H17" s="8">
        <f t="shared" si="1"/>
        <v>190</v>
      </c>
      <c r="I17" s="9" t="s">
        <v>41</v>
      </c>
      <c r="J17" s="9" t="s">
        <v>20</v>
      </c>
      <c r="K17" s="9" t="s">
        <v>21</v>
      </c>
      <c r="L17" s="11" t="s">
        <v>29</v>
      </c>
    </row>
    <row r="18" spans="1:12" x14ac:dyDescent="0.3">
      <c r="A18" s="8" t="s">
        <v>44</v>
      </c>
      <c r="B18" s="8" t="s">
        <v>28</v>
      </c>
      <c r="C18" s="8">
        <v>80</v>
      </c>
      <c r="D18" s="8">
        <v>55</v>
      </c>
      <c r="E18" s="8">
        <v>30</v>
      </c>
      <c r="F18" s="8">
        <v>20</v>
      </c>
      <c r="G18" s="8">
        <v>5</v>
      </c>
      <c r="H18" s="8">
        <f t="shared" si="1"/>
        <v>190</v>
      </c>
      <c r="I18" s="9" t="s">
        <v>41</v>
      </c>
      <c r="J18" s="9" t="s">
        <v>20</v>
      </c>
      <c r="K18" s="9" t="s">
        <v>21</v>
      </c>
      <c r="L18" s="11" t="s">
        <v>29</v>
      </c>
    </row>
    <row r="19" spans="1:12" x14ac:dyDescent="0.3">
      <c r="A19" s="8" t="s">
        <v>45</v>
      </c>
      <c r="B19" s="8" t="s">
        <v>31</v>
      </c>
      <c r="C19" s="8">
        <v>80</v>
      </c>
      <c r="D19" s="8">
        <v>55</v>
      </c>
      <c r="E19" s="8">
        <v>30</v>
      </c>
      <c r="F19" s="8">
        <v>20</v>
      </c>
      <c r="G19" s="8">
        <v>5</v>
      </c>
      <c r="H19" s="8">
        <f t="shared" si="1"/>
        <v>190</v>
      </c>
      <c r="I19" s="9" t="s">
        <v>41</v>
      </c>
      <c r="J19" s="9" t="s">
        <v>20</v>
      </c>
      <c r="K19" s="9" t="s">
        <v>21</v>
      </c>
      <c r="L19" s="11" t="s">
        <v>29</v>
      </c>
    </row>
    <row r="20" spans="1:12" x14ac:dyDescent="0.3">
      <c r="A20" s="8" t="s">
        <v>46</v>
      </c>
      <c r="B20" s="8" t="s">
        <v>33</v>
      </c>
      <c r="C20" s="8">
        <v>80</v>
      </c>
      <c r="D20" s="8">
        <v>55</v>
      </c>
      <c r="E20" s="8">
        <v>30</v>
      </c>
      <c r="F20" s="8">
        <v>20</v>
      </c>
      <c r="G20" s="8">
        <v>5</v>
      </c>
      <c r="H20" s="8">
        <f t="shared" si="1"/>
        <v>190</v>
      </c>
      <c r="I20" s="9" t="s">
        <v>41</v>
      </c>
      <c r="J20" s="9" t="s">
        <v>20</v>
      </c>
      <c r="K20" s="9" t="s">
        <v>21</v>
      </c>
      <c r="L20" s="11" t="s">
        <v>29</v>
      </c>
    </row>
    <row r="21" spans="1:12" x14ac:dyDescent="0.3">
      <c r="A21" s="8" t="s">
        <v>47</v>
      </c>
      <c r="B21" s="8" t="s">
        <v>35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9" t="s">
        <v>36</v>
      </c>
      <c r="J21" s="9" t="s">
        <v>37</v>
      </c>
      <c r="K21" s="9" t="s">
        <v>38</v>
      </c>
      <c r="L21" s="12" t="s">
        <v>39</v>
      </c>
    </row>
    <row r="22" spans="1:12" x14ac:dyDescent="0.3">
      <c r="A22" s="8" t="s">
        <v>48</v>
      </c>
      <c r="B22" s="8" t="s">
        <v>18</v>
      </c>
      <c r="C22" s="8">
        <v>80</v>
      </c>
      <c r="D22" s="8">
        <v>55</v>
      </c>
      <c r="E22" s="8">
        <v>30</v>
      </c>
      <c r="F22" s="8">
        <v>20</v>
      </c>
      <c r="G22" s="8">
        <v>5</v>
      </c>
      <c r="H22" s="8">
        <f t="shared" ref="H22:H27" si="2">SUM(C22:G22)</f>
        <v>190</v>
      </c>
      <c r="I22" s="9" t="s">
        <v>49</v>
      </c>
      <c r="J22" s="9" t="s">
        <v>20</v>
      </c>
      <c r="K22" s="9" t="s">
        <v>21</v>
      </c>
      <c r="L22" s="11" t="s">
        <v>29</v>
      </c>
    </row>
    <row r="23" spans="1:12" x14ac:dyDescent="0.3">
      <c r="A23" s="8" t="s">
        <v>50</v>
      </c>
      <c r="B23" s="8" t="s">
        <v>24</v>
      </c>
      <c r="C23" s="8">
        <v>80</v>
      </c>
      <c r="D23" s="8">
        <v>55</v>
      </c>
      <c r="E23" s="8">
        <v>30</v>
      </c>
      <c r="F23" s="8">
        <v>20</v>
      </c>
      <c r="G23" s="8">
        <v>5</v>
      </c>
      <c r="H23" s="8">
        <f t="shared" si="2"/>
        <v>190</v>
      </c>
      <c r="I23" s="9" t="s">
        <v>49</v>
      </c>
      <c r="J23" s="9" t="s">
        <v>20</v>
      </c>
      <c r="K23" s="9" t="s">
        <v>21</v>
      </c>
      <c r="L23" s="11" t="s">
        <v>29</v>
      </c>
    </row>
    <row r="24" spans="1:12" x14ac:dyDescent="0.3">
      <c r="A24" s="8" t="s">
        <v>51</v>
      </c>
      <c r="B24" s="8" t="s">
        <v>26</v>
      </c>
      <c r="C24" s="8">
        <v>80</v>
      </c>
      <c r="D24" s="8">
        <v>55</v>
      </c>
      <c r="E24" s="8">
        <v>30</v>
      </c>
      <c r="F24" s="8">
        <v>20</v>
      </c>
      <c r="G24" s="8">
        <v>5</v>
      </c>
      <c r="H24" s="8">
        <f t="shared" si="2"/>
        <v>190</v>
      </c>
      <c r="I24" s="9" t="s">
        <v>49</v>
      </c>
      <c r="J24" s="9" t="s">
        <v>20</v>
      </c>
      <c r="K24" s="9" t="s">
        <v>21</v>
      </c>
      <c r="L24" s="11" t="s">
        <v>29</v>
      </c>
    </row>
    <row r="25" spans="1:12" x14ac:dyDescent="0.3">
      <c r="A25" s="8" t="s">
        <v>52</v>
      </c>
      <c r="B25" s="8" t="s">
        <v>28</v>
      </c>
      <c r="C25" s="8">
        <v>80</v>
      </c>
      <c r="D25" s="8">
        <v>55</v>
      </c>
      <c r="E25" s="8">
        <v>30</v>
      </c>
      <c r="F25" s="8">
        <v>20</v>
      </c>
      <c r="G25" s="8">
        <v>5</v>
      </c>
      <c r="H25" s="8">
        <f t="shared" si="2"/>
        <v>190</v>
      </c>
      <c r="I25" s="9" t="s">
        <v>49</v>
      </c>
      <c r="J25" s="9" t="s">
        <v>20</v>
      </c>
      <c r="K25" s="9" t="s">
        <v>21</v>
      </c>
      <c r="L25" s="11" t="s">
        <v>29</v>
      </c>
    </row>
    <row r="26" spans="1:12" x14ac:dyDescent="0.3">
      <c r="A26" s="8" t="s">
        <v>53</v>
      </c>
      <c r="B26" s="8" t="s">
        <v>31</v>
      </c>
      <c r="C26" s="8">
        <v>80</v>
      </c>
      <c r="D26" s="8">
        <v>55</v>
      </c>
      <c r="E26" s="8">
        <v>30</v>
      </c>
      <c r="F26" s="8">
        <v>20</v>
      </c>
      <c r="G26" s="8">
        <v>5</v>
      </c>
      <c r="H26" s="8">
        <f t="shared" si="2"/>
        <v>190</v>
      </c>
      <c r="I26" s="9" t="s">
        <v>49</v>
      </c>
      <c r="J26" s="9" t="s">
        <v>20</v>
      </c>
      <c r="K26" s="9" t="s">
        <v>21</v>
      </c>
      <c r="L26" s="11" t="s">
        <v>29</v>
      </c>
    </row>
    <row r="27" spans="1:12" x14ac:dyDescent="0.3">
      <c r="A27" s="8" t="s">
        <v>54</v>
      </c>
      <c r="B27" s="8" t="s">
        <v>33</v>
      </c>
      <c r="C27" s="8">
        <v>80</v>
      </c>
      <c r="D27" s="8">
        <v>55</v>
      </c>
      <c r="E27" s="8">
        <v>30</v>
      </c>
      <c r="F27" s="8">
        <v>20</v>
      </c>
      <c r="G27" s="8">
        <v>5</v>
      </c>
      <c r="H27" s="8">
        <f t="shared" si="2"/>
        <v>190</v>
      </c>
      <c r="I27" s="9" t="s">
        <v>49</v>
      </c>
      <c r="J27" s="9" t="s">
        <v>20</v>
      </c>
      <c r="K27" s="9" t="s">
        <v>21</v>
      </c>
      <c r="L27" s="11" t="s">
        <v>29</v>
      </c>
    </row>
    <row r="28" spans="1:12" x14ac:dyDescent="0.3">
      <c r="A28" s="8" t="s">
        <v>55</v>
      </c>
      <c r="B28" s="8" t="s">
        <v>35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9" t="s">
        <v>36</v>
      </c>
      <c r="J28" s="9" t="s">
        <v>37</v>
      </c>
      <c r="K28" s="9" t="s">
        <v>38</v>
      </c>
      <c r="L28" s="12" t="s">
        <v>39</v>
      </c>
    </row>
    <row r="29" spans="1:12" x14ac:dyDescent="0.3">
      <c r="A29" s="8" t="s">
        <v>56</v>
      </c>
      <c r="B29" s="8" t="s">
        <v>18</v>
      </c>
      <c r="C29" s="8">
        <v>80</v>
      </c>
      <c r="D29" s="8">
        <v>55</v>
      </c>
      <c r="E29" s="8">
        <v>30</v>
      </c>
      <c r="F29" s="8">
        <v>20</v>
      </c>
      <c r="G29" s="8">
        <v>5</v>
      </c>
      <c r="H29" s="8">
        <f t="shared" ref="H29:H34" si="3">SUM(C29:G29)</f>
        <v>190</v>
      </c>
      <c r="I29" s="9" t="s">
        <v>49</v>
      </c>
      <c r="J29" s="9" t="s">
        <v>20</v>
      </c>
      <c r="K29" s="9" t="s">
        <v>21</v>
      </c>
      <c r="L29" s="11" t="s">
        <v>29</v>
      </c>
    </row>
    <row r="30" spans="1:12" x14ac:dyDescent="0.3">
      <c r="A30" s="8" t="s">
        <v>57</v>
      </c>
      <c r="B30" s="8" t="s">
        <v>24</v>
      </c>
      <c r="C30" s="8">
        <v>80</v>
      </c>
      <c r="D30" s="8">
        <v>55</v>
      </c>
      <c r="E30" s="8">
        <v>30</v>
      </c>
      <c r="F30" s="8">
        <v>20</v>
      </c>
      <c r="G30" s="8">
        <v>5</v>
      </c>
      <c r="H30" s="8">
        <f t="shared" si="3"/>
        <v>190</v>
      </c>
      <c r="I30" s="9" t="s">
        <v>49</v>
      </c>
      <c r="J30" s="9" t="s">
        <v>20</v>
      </c>
      <c r="K30" s="9" t="s">
        <v>21</v>
      </c>
      <c r="L30" s="11" t="s">
        <v>29</v>
      </c>
    </row>
    <row r="31" spans="1:12" x14ac:dyDescent="0.3">
      <c r="A31" s="8" t="s">
        <v>58</v>
      </c>
      <c r="B31" s="8" t="s">
        <v>26</v>
      </c>
      <c r="C31" s="8">
        <v>80</v>
      </c>
      <c r="D31" s="8">
        <v>55</v>
      </c>
      <c r="E31" s="8">
        <v>30</v>
      </c>
      <c r="F31" s="8">
        <v>20</v>
      </c>
      <c r="G31" s="8">
        <v>5</v>
      </c>
      <c r="H31" s="8">
        <f t="shared" si="3"/>
        <v>190</v>
      </c>
      <c r="I31" s="9" t="s">
        <v>49</v>
      </c>
      <c r="J31" s="9" t="s">
        <v>20</v>
      </c>
      <c r="K31" s="9" t="s">
        <v>21</v>
      </c>
      <c r="L31" s="11" t="s">
        <v>29</v>
      </c>
    </row>
    <row r="32" spans="1:12" x14ac:dyDescent="0.3">
      <c r="A32" s="8" t="s">
        <v>59</v>
      </c>
      <c r="B32" s="8" t="s">
        <v>28</v>
      </c>
      <c r="C32" s="8">
        <v>80</v>
      </c>
      <c r="D32" s="8">
        <v>55</v>
      </c>
      <c r="E32" s="8">
        <v>30</v>
      </c>
      <c r="F32" s="8">
        <v>20</v>
      </c>
      <c r="G32" s="8">
        <v>5</v>
      </c>
      <c r="H32" s="8">
        <f t="shared" si="3"/>
        <v>190</v>
      </c>
      <c r="I32" s="9" t="s">
        <v>49</v>
      </c>
      <c r="J32" s="9" t="s">
        <v>20</v>
      </c>
      <c r="K32" s="9" t="s">
        <v>21</v>
      </c>
      <c r="L32" s="11" t="s">
        <v>29</v>
      </c>
    </row>
    <row r="33" spans="1:12" x14ac:dyDescent="0.3">
      <c r="A33" s="8" t="s">
        <v>60</v>
      </c>
      <c r="B33" s="8" t="s">
        <v>31</v>
      </c>
      <c r="C33" s="8">
        <v>80</v>
      </c>
      <c r="D33" s="8">
        <v>55</v>
      </c>
      <c r="E33" s="8">
        <v>30</v>
      </c>
      <c r="F33" s="8">
        <v>20</v>
      </c>
      <c r="G33" s="8">
        <v>5</v>
      </c>
      <c r="H33" s="8">
        <f t="shared" si="3"/>
        <v>190</v>
      </c>
      <c r="I33" s="9" t="s">
        <v>49</v>
      </c>
      <c r="J33" s="9" t="s">
        <v>20</v>
      </c>
      <c r="K33" s="9" t="s">
        <v>21</v>
      </c>
      <c r="L33" s="11" t="s">
        <v>29</v>
      </c>
    </row>
    <row r="34" spans="1:12" x14ac:dyDescent="0.3">
      <c r="A34" s="8" t="s">
        <v>61</v>
      </c>
      <c r="B34" s="8" t="s">
        <v>33</v>
      </c>
      <c r="C34" s="8">
        <v>80</v>
      </c>
      <c r="D34" s="8">
        <v>55</v>
      </c>
      <c r="E34" s="8">
        <v>30</v>
      </c>
      <c r="F34" s="8">
        <v>20</v>
      </c>
      <c r="G34" s="8">
        <v>5</v>
      </c>
      <c r="H34" s="8">
        <f t="shared" si="3"/>
        <v>190</v>
      </c>
      <c r="I34" s="9" t="s">
        <v>49</v>
      </c>
      <c r="J34" s="9" t="s">
        <v>20</v>
      </c>
      <c r="K34" s="9" t="s">
        <v>21</v>
      </c>
      <c r="L34" s="11" t="s">
        <v>29</v>
      </c>
    </row>
    <row r="35" spans="1:12" x14ac:dyDescent="0.3">
      <c r="A35" s="8" t="s">
        <v>62</v>
      </c>
      <c r="B35" s="8" t="s">
        <v>35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9" t="s">
        <v>36</v>
      </c>
      <c r="J35" s="9" t="s">
        <v>37</v>
      </c>
      <c r="K35" s="9" t="s">
        <v>38</v>
      </c>
      <c r="L35" s="12" t="s">
        <v>39</v>
      </c>
    </row>
    <row r="36" spans="1:12" x14ac:dyDescent="0.3">
      <c r="A36" s="8" t="s">
        <v>63</v>
      </c>
      <c r="B36" s="8" t="s">
        <v>18</v>
      </c>
      <c r="C36" s="8">
        <v>80</v>
      </c>
      <c r="D36" s="8">
        <v>55</v>
      </c>
      <c r="E36" s="8">
        <v>30</v>
      </c>
      <c r="F36" s="8">
        <v>20</v>
      </c>
      <c r="G36" s="8">
        <v>5</v>
      </c>
      <c r="H36" s="8">
        <f>SUM(C36:G36)</f>
        <v>190</v>
      </c>
      <c r="I36" s="9" t="s">
        <v>49</v>
      </c>
      <c r="J36" s="9" t="s">
        <v>20</v>
      </c>
      <c r="K36" s="9" t="s">
        <v>21</v>
      </c>
      <c r="L36" s="11" t="s">
        <v>29</v>
      </c>
    </row>
    <row r="37" spans="1:12" x14ac:dyDescent="0.3">
      <c r="A37" s="8" t="s">
        <v>64</v>
      </c>
      <c r="B37" s="8" t="s">
        <v>24</v>
      </c>
      <c r="C37" s="8">
        <v>80</v>
      </c>
      <c r="D37" s="8">
        <v>55</v>
      </c>
      <c r="E37" s="8">
        <v>30</v>
      </c>
      <c r="F37" s="8">
        <v>20</v>
      </c>
      <c r="G37" s="8">
        <v>5</v>
      </c>
      <c r="H37" s="8">
        <f>SUM(C37:G37)</f>
        <v>190</v>
      </c>
      <c r="I37" s="9" t="s">
        <v>49</v>
      </c>
      <c r="J37" s="9" t="s">
        <v>20</v>
      </c>
      <c r="K37" s="9" t="s">
        <v>21</v>
      </c>
      <c r="L37" s="1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4.4" x14ac:dyDescent="0.3"/>
  <cols>
    <col min="1" max="1" width="55" customWidth="1"/>
    <col min="2" max="2" width="15" customWidth="1"/>
    <col min="3" max="3" width="14" customWidth="1"/>
    <col min="4" max="4" width="15" customWidth="1"/>
    <col min="5" max="5" width="20" customWidth="1"/>
    <col min="6" max="6" width="21" customWidth="1"/>
    <col min="7" max="7" width="43" customWidth="1"/>
  </cols>
  <sheetData>
    <row r="1" spans="1:7" ht="21" x14ac:dyDescent="0.4">
      <c r="A1" s="1" t="s">
        <v>65</v>
      </c>
    </row>
    <row r="2" spans="1:7" x14ac:dyDescent="0.3">
      <c r="A2" s="2" t="s">
        <v>66</v>
      </c>
    </row>
    <row r="4" spans="1:7" x14ac:dyDescent="0.3">
      <c r="A4" s="13" t="s">
        <v>67</v>
      </c>
      <c r="B4" s="13" t="s">
        <v>68</v>
      </c>
      <c r="C4" s="13" t="s">
        <v>69</v>
      </c>
      <c r="D4" s="13" t="s">
        <v>70</v>
      </c>
      <c r="E4" s="13" t="s">
        <v>71</v>
      </c>
      <c r="F4" s="13" t="s">
        <v>72</v>
      </c>
      <c r="G4" s="13" t="s">
        <v>73</v>
      </c>
    </row>
    <row r="5" spans="1:7" x14ac:dyDescent="0.3">
      <c r="A5" s="8" t="s">
        <v>74</v>
      </c>
      <c r="B5" s="8">
        <v>1260</v>
      </c>
      <c r="C5" s="8">
        <f>SUM('Daily Progress Log'!H8:H14)</f>
        <v>1140</v>
      </c>
      <c r="D5" s="14">
        <f>C5/60</f>
        <v>19</v>
      </c>
      <c r="E5" s="8">
        <v>1260</v>
      </c>
      <c r="F5" s="8" t="str">
        <f>IF(C5&gt;=E5, "YES", "NO")</f>
        <v>NO</v>
      </c>
      <c r="G5" s="9" t="s">
        <v>75</v>
      </c>
    </row>
    <row r="6" spans="1:7" x14ac:dyDescent="0.3">
      <c r="A6" s="8" t="s">
        <v>76</v>
      </c>
      <c r="B6" s="8">
        <v>1260</v>
      </c>
      <c r="C6" s="8">
        <f>SUM('Daily Progress Log'!H15:H21)</f>
        <v>1140</v>
      </c>
      <c r="D6" s="14">
        <f>C6/60</f>
        <v>19</v>
      </c>
      <c r="E6" s="8">
        <v>1260</v>
      </c>
      <c r="F6" s="8" t="str">
        <f>IF(C6&gt;=E6, "YES", "NO")</f>
        <v>NO</v>
      </c>
      <c r="G6" s="9" t="s">
        <v>77</v>
      </c>
    </row>
    <row r="7" spans="1:7" x14ac:dyDescent="0.3">
      <c r="A7" s="8" t="s">
        <v>78</v>
      </c>
      <c r="B7" s="8">
        <v>1260</v>
      </c>
      <c r="C7" s="8">
        <f>SUM('Daily Progress Log'!H22:H28)</f>
        <v>1140</v>
      </c>
      <c r="D7" s="14">
        <f>C7/60</f>
        <v>19</v>
      </c>
      <c r="E7" s="8">
        <v>1260</v>
      </c>
      <c r="F7" s="8" t="str">
        <f>IF(C7&gt;=E7, "YES", "NO")</f>
        <v>NO</v>
      </c>
      <c r="G7" s="9" t="s">
        <v>79</v>
      </c>
    </row>
    <row r="8" spans="1:7" x14ac:dyDescent="0.3">
      <c r="A8" s="8" t="s">
        <v>80</v>
      </c>
      <c r="B8" s="8">
        <v>1260</v>
      </c>
      <c r="C8" s="8">
        <f>SUM('Daily Progress Log'!H29:H35)</f>
        <v>1140</v>
      </c>
      <c r="D8" s="14">
        <f>C8/60</f>
        <v>19</v>
      </c>
      <c r="E8" s="8">
        <v>1260</v>
      </c>
      <c r="F8" s="8" t="str">
        <f>IF(C8&gt;=E8, "YES", "NO")</f>
        <v>NO</v>
      </c>
      <c r="G8" s="9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Progress Log</vt:lpstr>
      <vt:lpstr>Weekly Analytics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Adon Sebastian</cp:lastModifiedBy>
  <dcterms:created xsi:type="dcterms:W3CDTF">2026-09-17T17:31:28Z</dcterms:created>
  <dcterms:modified xsi:type="dcterms:W3CDTF">2026-09-17T17:35:12Z</dcterms:modified>
</cp:coreProperties>
</file>